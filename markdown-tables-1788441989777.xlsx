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Tabla Regulatoria + Fuente (18 " sheetId="1" state="visible" r:id="rId2"/>
  </sheet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<sst xmlns="http://schemas.openxmlformats.org/spreadsheetml/2006/main" count="386" uniqueCount="386">
  <si>
    <t>Reporte</t>
  </si>
  <si>
    <t>#</t>
  </si>
  <si>
    <t>Campo</t>
  </si>
  <si>
    <t>Tipo</t>
  </si>
  <si>
    <t xml:space="preserve">Tabla FK</t>
  </si>
  <si>
    <t>Contenido</t>
  </si>
  <si>
    <t>Ejemplo</t>
  </si>
  <si>
    <t xml:space="preserve">Observaciones adicionales</t>
  </si>
  <si>
    <t xml:space="preserve">Sistema Fuente</t>
  </si>
  <si>
    <t xml:space="preserve">Tipo de sistema</t>
  </si>
  <si>
    <t>Base</t>
  </si>
  <si>
    <t>Tabla</t>
  </si>
  <si>
    <t xml:space="preserve">Campo Origen</t>
  </si>
  <si>
    <t xml:space="preserve">Dato crudo / campo calculado</t>
  </si>
  <si>
    <t xml:space="preserve">Captura (abierto/catálogo)</t>
  </si>
  <si>
    <t>Descripción</t>
  </si>
  <si>
    <t xml:space="preserve">Cálculos (Fórmulas)</t>
  </si>
  <si>
    <t xml:space="preserve">Comentarios adicionales</t>
  </si>
  <si>
    <t>---</t>
  </si>
  <si>
    <t>AR10</t>
  </si>
  <si>
    <t>1</t>
  </si>
  <si>
    <t xml:space="preserve">NÚMERO IDENTIFICACIÓN DE LA OPERACIÓN</t>
  </si>
  <si>
    <t>varchar(25)</t>
  </si>
  <si>
    <t>—</t>
  </si>
  <si>
    <t xml:space="preserve">Se debe indicar el código o la numeración que utilice la entidad internamente para identificar cada operación</t>
  </si>
  <si>
    <t>10060623&lt;br&gt;40-003-019911-0</t>
  </si>
  <si>
    <t xml:space="preserve">Es el número del producto (préstamo, certificado, inversión)</t>
  </si>
  <si>
    <t>AS400</t>
  </si>
  <si>
    <t xml:space="preserve">Base de datos - Librerias</t>
  </si>
  <si>
    <t xml:space="preserve">cartacdat / V5CLIDAT</t>
  </si>
  <si>
    <t xml:space="preserve">CACREDIT / CLMCTE</t>
  </si>
  <si>
    <t xml:space="preserve">canucr / CLNIDO+CLIAP1+CLPORI</t>
  </si>
  <si>
    <t>Calculado</t>
  </si>
  <si>
    <t xml:space="preserve">Campo abierto / Lista de referencias</t>
  </si>
  <si>
    <t xml:space="preserve">Campo combinado / Código secuencial indica: Sucursal-Tipo Producto-Tipo Subproducto... / Se calcula según ingresos</t>
  </si>
  <si>
    <t xml:space="preserve">canucr directo (detalle) / código sucursal+producto</t>
  </si>
  <si>
    <t xml:space="preserve">No se permite vacío / Debe coincidir con identificación / Clientes categoría 3 debe reportarse como “no aplica” / `BYTEJU.BCETAS00.BCENUME` `Ar10.java:86`</t>
  </si>
  <si>
    <t>2</t>
  </si>
  <si>
    <t xml:space="preserve">FECHA INICIO DE LA OPERACIÓN</t>
  </si>
  <si>
    <t>varchar(10)</t>
  </si>
  <si>
    <t xml:space="preserve">Se debe indicar la fecha de inicio o efectiva de la operación, en formato DD/MM/AAAA</t>
  </si>
  <si>
    <t xml:space="preserve">15/09/2024&lt;br&gt;(Excel: 46237)</t>
  </si>
  <si>
    <t xml:space="preserve">Fecha del corte del reporte (día anterior del envío)</t>
  </si>
  <si>
    <t xml:space="preserve">Base de datos</t>
  </si>
  <si>
    <t>BCETAS00</t>
  </si>
  <si>
    <t>BCEFEIN</t>
  </si>
  <si>
    <t xml:space="preserve">Campo abierto</t>
  </si>
  <si>
    <t xml:space="preserve">Fecha efectiva = fecha corte</t>
  </si>
  <si>
    <t>`VARCHAR_FORMAT('FECHAREMPLAZARFIN'</t>
  </si>
  <si>
    <t xml:space="preserve">' 00:00:00','dd/mm/yyyy')` `Ar10.java:86`</t>
  </si>
  <si>
    <t xml:space="preserve">Formato DD/MM/AAAA obligatorio / Reemplaza FECHAREMPLAZARFIN/INIT en `TasaInteres.java:71`</t>
  </si>
  <si>
    <t>3</t>
  </si>
  <si>
    <t xml:space="preserve">CONDICIÓN DE LA OPERACIÓN</t>
  </si>
  <si>
    <t>varchar(2)</t>
  </si>
  <si>
    <t>T160</t>
  </si>
  <si>
    <t xml:space="preserve">Se debe indicar la condición de la operación, conforme T160</t>
  </si>
  <si>
    <t>N&lt;br&gt;RE&lt;br&gt;B</t>
  </si>
  <si>
    <t xml:space="preserve">N Nueva / RE Reestructurada / R Renovada / B Balance. Balance de todos los créditos comerciales que la CIBAO tiene activa</t>
  </si>
  <si>
    <t>cartacdat</t>
  </si>
  <si>
    <t>CACREDIT</t>
  </si>
  <si>
    <t>CAFG08</t>
  </si>
  <si>
    <t xml:space="preserve">Catálogo T160</t>
  </si>
  <si>
    <t xml:space="preserve">Mapeo CAFG08</t>
  </si>
  <si>
    <t xml:space="preserve">`case a.CAFG08 when 'R' then 'RE' else 'N' end` `Ar10.java:87`</t>
  </si>
  <si>
    <t xml:space="preserve">Hoy solo genera N/RE; B/R puros no usados (ver AA.107) / Si usa B ampliar CASE</t>
  </si>
  <si>
    <t>4</t>
  </si>
  <si>
    <t xml:space="preserve">TIPO DE OPERACIÓN</t>
  </si>
  <si>
    <t>varchar(1)</t>
  </si>
  <si>
    <t xml:space="preserve">Se debe especificar si es activa (A) o pasiva (P)</t>
  </si>
  <si>
    <t>A&lt;br&gt;P</t>
  </si>
  <si>
    <t xml:space="preserve">Activa son Colocaciones</t>
  </si>
  <si>
    <t>BYTEJU</t>
  </si>
  <si>
    <t>BCETIPO</t>
  </si>
  <si>
    <t xml:space="preserve">Dato crudo</t>
  </si>
  <si>
    <t xml:space="preserve">Catálogo (A/P)</t>
  </si>
  <si>
    <t xml:space="preserve">BCETIPO 1→A else P</t>
  </si>
  <si>
    <t xml:space="preserve">`case when BCETIPO='1' then 'A' else 'P' end` `Ar10.java:11` / `REPORTE` inserta 1</t>
  </si>
  <si>
    <t xml:space="preserve">Siempre A para préstamos</t>
  </si>
  <si>
    <t>5</t>
  </si>
  <si>
    <t>SECTOR</t>
  </si>
  <si>
    <t>numeric(2,0)</t>
  </si>
  <si>
    <t>T112</t>
  </si>
  <si>
    <t xml:space="preserve">Se debe clasificar de acuerdo al destino del préstamo, conforme T112</t>
  </si>
  <si>
    <t>H&lt;br&gt;O&lt;br&gt;A&lt;br&gt;D&lt;br&gt;I</t>
  </si>
  <si>
    <t xml:space="preserve">Como Subproductos + el sector dirigido. Inversiones. Hipotecario. Medianos deudores</t>
  </si>
  <si>
    <t xml:space="preserve">cartacdat / libtemp</t>
  </si>
  <si>
    <t xml:space="preserve">CACREDIT / RDTT_adm / DE08CONSOL</t>
  </si>
  <si>
    <t xml:space="preserve">CAPROD / CACODE / TIPCRE / CALIFICACI</t>
  </si>
  <si>
    <t xml:space="preserve">Catálogo T112 (12 códigos A,S,I,H,O,M,C,D,R,E,T,N)</t>
  </si>
  <si>
    <t xml:space="preserve">BCESECT desde CAPROD 1→36/2→37/3→38 luego `case 36→TIPCRE/CALIFICACI else O/H/I`</t>
  </si>
  <si>
    <t xml:space="preserve">`Ar10.java:13-17` + `89`</t>
  </si>
  <si>
    <t xml:space="preserve">Hoy solo cubre H/O/M/I; A/C/D/R/E/T/N/S no generados (cartera 36-38)</t>
  </si>
  <si>
    <t>6</t>
  </si>
  <si>
    <t>INSTRUMENTO</t>
  </si>
  <si>
    <t>numeric(3,0)</t>
  </si>
  <si>
    <t>T078</t>
  </si>
  <si>
    <t xml:space="preserve">Se debe clasificar según el instrumento captado u otorgado, conforme T078</t>
  </si>
  <si>
    <t>181&lt;br&gt;112&lt;br&gt;161</t>
  </si>
  <si>
    <t>Subproductos</t>
  </si>
  <si>
    <t xml:space="preserve">cartacdat / V5DPDAT01</t>
  </si>
  <si>
    <t xml:space="preserve">CACREDIT / DPCTAS01</t>
  </si>
  <si>
    <t xml:space="preserve">cafn02 / prtipo+prsubp</t>
  </si>
  <si>
    <t xml:space="preserve">Dato crudo / Calculado</t>
  </si>
  <si>
    <t xml:space="preserve">Catálogo T078 (120+ códigos 111-632)</t>
  </si>
  <si>
    <t xml:space="preserve">Resumen: 1comercial→112/1consumo→161/1hipotecario→181/1→221 else cafn02 else DPCTAS01</t>
  </si>
  <si>
    <t>`Ar10.java:18-28`</t>
  </si>
  <si>
    <t xml:space="preserve">`cafn02` ya mapea T078 directo; fallback DPCTAS01 solo 213/221 hoy</t>
  </si>
  <si>
    <t>7</t>
  </si>
  <si>
    <t>SUB-SECTOR</t>
  </si>
  <si>
    <t>T161</t>
  </si>
  <si>
    <t xml:space="preserve">Subconjunto de actividades productivas, conforme T161</t>
  </si>
  <si>
    <t>5&lt;br&gt;7&lt;br&gt;0</t>
  </si>
  <si>
    <t xml:space="preserve">Tabla 161 con 18 categorías. Solo para préstamos. Si es Captaciones viaja en 0</t>
  </si>
  <si>
    <t>CACODE</t>
  </si>
  <si>
    <t xml:space="preserve">Catálogo T161 (0-18)</t>
  </si>
  <si>
    <t xml:space="preserve">Rangos CACODE →1-17</t>
  </si>
  <si>
    <t xml:space="preserve">`Ar10.java:90-106` integer(CACODE) ≤020906→1 … ≥990000→17</t>
  </si>
  <si>
    <t xml:space="preserve">0 e 18 quedan NULL; revisar si CACODE mapea a 0/18</t>
  </si>
  <si>
    <t>8</t>
  </si>
  <si>
    <t xml:space="preserve">GRUPO CONTRAPARTE</t>
  </si>
  <si>
    <t>varchar(4)</t>
  </si>
  <si>
    <t>T163</t>
  </si>
  <si>
    <t xml:space="preserve">Grupo de contraparte al cual pertenece el cliente, conforme T163</t>
  </si>
  <si>
    <t>PF&lt;br&gt;NR&lt;br&gt;E&lt;br&gt;FI&lt;br&gt;CDAC&lt;br&gt;BCRD</t>
  </si>
  <si>
    <t xml:space="preserve">Tipo de Cliente (PF / PJ / Empleado / No Residente / Fondo de Inversión / Cooperativa / Compañía de seguro)</t>
  </si>
  <si>
    <t xml:space="preserve">v5clidat / byteju</t>
  </si>
  <si>
    <t xml:space="preserve">CLMCTE / BCEGRUP01</t>
  </si>
  <si>
    <t>cltipe/clclco/CLCOVI/CLTIDA/clseco</t>
  </si>
  <si>
    <t xml:space="preserve">Catálogo T163 (17 códigos A..PJ)</t>
  </si>
  <si>
    <t xml:space="preserve">`J→bcegrup01.bcgrup` else `clclco/CLCOVI/CLTIDA` → E/PF/EFE/EP/IPU/PJ/NR</t>
  </si>
  <si>
    <t xml:space="preserve">`Ar10.java:108-123` + `EMPLEADO_PENCIONADO`/`ElIMINAR_EIF`</t>
  </si>
  <si>
    <t xml:space="preserve">Solo cubre E/PF/EFE/EP/IPU/PJ/NR+FI/FP/EIF; faltan A/BCRD/CDAC/CS/MH/NA/OTE/PB</t>
  </si>
  <si>
    <t>9</t>
  </si>
  <si>
    <t>CONTRAPARTE</t>
  </si>
  <si>
    <t>varchar(100)</t>
  </si>
  <si>
    <t xml:space="preserve">Nombre completo de la contraparte</t>
  </si>
  <si>
    <t xml:space="preserve">Vargas Rodriguez Jose Patricio</t>
  </si>
  <si>
    <t xml:space="preserve">Nombre completo de la persona</t>
  </si>
  <si>
    <t>crnomb</t>
  </si>
  <si>
    <t xml:space="preserve">Razón social / nombre</t>
  </si>
  <si>
    <t xml:space="preserve">`a.crnomb` `Ar10.java:124`</t>
  </si>
  <si>
    <t>10</t>
  </si>
  <si>
    <t xml:space="preserve">IDENTIFICACIÓN CONTRAPARTE</t>
  </si>
  <si>
    <t>varchar(15)</t>
  </si>
  <si>
    <t xml:space="preserve">RNC, cédula o pasaporte de la contraparte</t>
  </si>
  <si>
    <t>001-1234567-8</t>
  </si>
  <si>
    <t xml:space="preserve">RNC / Cédula / Pasaporte</t>
  </si>
  <si>
    <t>v5clidat</t>
  </si>
  <si>
    <t>CLMCTE</t>
  </si>
  <si>
    <t>clnuid</t>
  </si>
  <si>
    <t xml:space="preserve">Sin guiones</t>
  </si>
  <si>
    <t xml:space="preserve">`replace(d.clnuid,'-','')` `Ar10.java:124`</t>
  </si>
  <si>
    <t>11</t>
  </si>
  <si>
    <t xml:space="preserve">FECHA NACIMIENTO CONTRAPARTE</t>
  </si>
  <si>
    <t xml:space="preserve">Fecha de nacimiento de la contraparte (solo PF), en DD/MM/AAAA</t>
  </si>
  <si>
    <t>07/08/1975&lt;br&gt;01/01/0001</t>
  </si>
  <si>
    <t xml:space="preserve">Si es PF fecha real. Si es PJ se coloca 01/01/0001</t>
  </si>
  <si>
    <t xml:space="preserve">CLPEIN / CLPEJU</t>
  </si>
  <si>
    <t xml:space="preserve">CLDINA/CLMENA/CLANNA / CLDICO/CLMECO/CLANCO</t>
  </si>
  <si>
    <t xml:space="preserve">CLPEIN si CLMENA&gt;0 sino CLPEJU</t>
  </si>
  <si>
    <t>`DIGITS(CLDINA)</t>
  </si>
  <si>
    <t>'/'</t>
  </si>
  <si>
    <t>DIGITS(CLMENA)</t>
  </si>
  <si>
    <t xml:space="preserve">DIGITS(CLANNA)` `Ar10.java:127` + `ELIMINAR_FECHA_EMPRESA` → 01/01/0001 si PJ</t>
  </si>
  <si>
    <t xml:space="preserve">Filtro `CLTIPE='N'` para PF</t>
  </si>
  <si>
    <t>12</t>
  </si>
  <si>
    <t xml:space="preserve">FECHA VENCIMIENTO OPERACIÓN</t>
  </si>
  <si>
    <t xml:space="preserve">Fecha cuando vence la operación, en DD/MM/AAAA</t>
  </si>
  <si>
    <t>22/11/2026</t>
  </si>
  <si>
    <t xml:space="preserve">Fecha de vencimiento del crédito o inversión. Cuentas de ahorro no tienen vencimiento, viajan al final en el balance con fecha de generación</t>
  </si>
  <si>
    <t>CADVEC/CAMVEC/CAAVEC</t>
  </si>
  <si>
    <t>Vencimiento</t>
  </si>
  <si>
    <t>`DIGITS(CADVEC)</t>
  </si>
  <si>
    <t>DIGITS(CAMVEC)</t>
  </si>
  <si>
    <t xml:space="preserve">DIGITS(CAAVEC)` `Ar10.java:131`</t>
  </si>
  <si>
    <t xml:space="preserve">Ahorro → fecha reporte (balance)</t>
  </si>
  <si>
    <t>13</t>
  </si>
  <si>
    <t xml:space="preserve">TIPO DE MONEDA</t>
  </si>
  <si>
    <t>varchar(3)</t>
  </si>
  <si>
    <t>T050</t>
  </si>
  <si>
    <t xml:space="preserve">Tipo de moneda, conforme T050</t>
  </si>
  <si>
    <t>DOP</t>
  </si>
  <si>
    <t xml:space="preserve">Para CIBAO, sólo DOP aplica</t>
  </si>
  <si>
    <t>BCEMONE</t>
  </si>
  <si>
    <t xml:space="preserve">Catálogo T050 ISO4217</t>
  </si>
  <si>
    <t xml:space="preserve">Fijo DOP</t>
  </si>
  <si>
    <t xml:space="preserve">`'DOP'` `Ar10.java:132`</t>
  </si>
  <si>
    <t xml:space="preserve">Multidivisa no usada; mapear a ISO 4217 si aplica</t>
  </si>
  <si>
    <t>14</t>
  </si>
  <si>
    <t xml:space="preserve">MONTO DE LA OPERACIÓN</t>
  </si>
  <si>
    <t>numeric(12,2)</t>
  </si>
  <si>
    <t xml:space="preserve">Monto total de la operación</t>
  </si>
  <si>
    <t>7150000</t>
  </si>
  <si>
    <t xml:space="preserve">Monto del certificado / monto del préstamo (monto de aprobación “Monto Original”)</t>
  </si>
  <si>
    <t>camonc</t>
  </si>
  <si>
    <t xml:space="preserve">Monto original</t>
  </si>
  <si>
    <t xml:space="preserve">`a.camonc` `Ar10.java:133`</t>
  </si>
  <si>
    <t>15</t>
  </si>
  <si>
    <t xml:space="preserve">PLAZO EXACTO DE LA OPERACIÓN</t>
  </si>
  <si>
    <t>numeric(6,0)</t>
  </si>
  <si>
    <t xml:space="preserve">Plazo exacto de la operación, expresado en días</t>
  </si>
  <si>
    <t>10400</t>
  </si>
  <si>
    <t xml:space="preserve">Expresado en días</t>
  </si>
  <si>
    <t>CACOD1+FACTOR</t>
  </si>
  <si>
    <t xml:space="preserve">Días desde CACOD1 según FACTOR</t>
  </si>
  <si>
    <t xml:space="preserve">`case FACTOR when 'M' then CACOD1*30 when 'A' then CACOD1*12*30 when 'D' then CACOD1 end` `Ar10.java:134`</t>
  </si>
  <si>
    <t>16</t>
  </si>
  <si>
    <t xml:space="preserve">TASA DE INTERÉS</t>
  </si>
  <si>
    <t>numeric(2,4)</t>
  </si>
  <si>
    <t xml:space="preserve">Tasa de interés anual expresada en %</t>
  </si>
  <si>
    <t>12.1000&lt;br&gt;3.2500</t>
  </si>
  <si>
    <t xml:space="preserve">Expresado con 2 enteros y 4 decimales</t>
  </si>
  <si>
    <t>catino+caindi</t>
  </si>
  <si>
    <t xml:space="preserve">Anual %</t>
  </si>
  <si>
    <t xml:space="preserve">`(a.catino+a.caindi)` `Ar10.java:139`</t>
  </si>
  <si>
    <t>17</t>
  </si>
  <si>
    <t xml:space="preserve">TASA DE INTERÉS PREFERENCIAL</t>
  </si>
  <si>
    <t>T169</t>
  </si>
  <si>
    <t xml:space="preserve">Tasa fuera del rango regular, conforme T169</t>
  </si>
  <si>
    <t>N&lt;br&gt;S&lt;br&gt;EM&lt;br&gt;EL&lt;br&gt;ML</t>
  </si>
  <si>
    <t xml:space="preserve">Empleado / No / Si / Subsidiada / Vinculado / Ze (0,00%) / Encaje Legal / Medidas de Liquidez</t>
  </si>
  <si>
    <t>CACANDIS</t>
  </si>
  <si>
    <t>disdsr/DISTIP/DISCOD</t>
  </si>
  <si>
    <t xml:space="preserve">Catálogo T169 (EM/NO/S/SU/VI/ZE) + EL/ML</t>
  </si>
  <si>
    <t xml:space="preserve">ENCAJE/LIQ → S else N; luego E→EM y S/EM→EL si 36-38 y no E</t>
  </si>
  <si>
    <t xml:space="preserve">`ifnull(select 'S' where disdsr like '%ENCAJE%' or '%LIQ%','N')` `Ar10.java:140` + `Ar10.java:33` `EMPLEADO_TASA`</t>
  </si>
  <si>
    <t xml:space="preserve">SU/VI/ZE no generados hoy</t>
  </si>
  <si>
    <t>18</t>
  </si>
  <si>
    <t xml:space="preserve">TASA FIJA O VARIABLE</t>
  </si>
  <si>
    <t>T106A</t>
  </si>
  <si>
    <t xml:space="preserve">Cuando la operación es pactada a tasa fija o variable, conforme T106A</t>
  </si>
  <si>
    <t>F&lt;br&gt;V</t>
  </si>
  <si>
    <t xml:space="preserve">Si es préstamo siempre variable. Si es certificado siempre fija. Sin embargo, cuando hay grupo de condición se especifican. Ej “Tasa fija a 3 años”</t>
  </si>
  <si>
    <t>BCETAFV</t>
  </si>
  <si>
    <t xml:space="preserve">Catálogo T106A (F/V)</t>
  </si>
  <si>
    <t xml:space="preserve">TV→V else F con especial 9999/0/blanco→F</t>
  </si>
  <si>
    <t xml:space="preserve">`case when (BCETIPO='1' or TRIM(BCECOND) in RE/N/1) and TRIM(COALESCE(BCETAFV/BCEPERI) in 9999/0/'') then 'F' when BCETAFV='TV' then 'V' else 'F' end` `Ar10.java:36` + BCE9004</t>
  </si>
  <si>
    <t xml:space="preserve">Placeholder 'TV' en INSERT</t>
  </si>
  <si>
    <t>19</t>
  </si>
  <si>
    <t xml:space="preserve">PERIODICIDAD DE REVISIÓN</t>
  </si>
  <si>
    <t>T164</t>
  </si>
  <si>
    <t xml:space="preserve">Periodicidad con que se revisará la tasa, conforme T164</t>
  </si>
  <si>
    <t>M&lt;br&gt;S&lt;br&gt;A</t>
  </si>
  <si>
    <t xml:space="preserve">no aplica / Mensual / Trimestral / 2 años / mayor de 10 años</t>
  </si>
  <si>
    <t>BCEPERI</t>
  </si>
  <si>
    <t xml:space="preserve">Catálogo T164 (NA/M/B/T/C/S/A/A2-A9)</t>
  </si>
  <si>
    <t xml:space="preserve">Solo si V → BCEPERI real else NA; sanitiza 9999/0→NA</t>
  </si>
  <si>
    <t xml:space="preserve">`case when BCETAFV='TV' then case when TRIM(COALESCE(BCEPERI) in 9999/0/'') then 'NA' else BCEPERI end else 'NA' end` `Ar10.java:37`</t>
  </si>
  <si>
    <t xml:space="preserve">Placeholder 'NA' / BCE9004 pone M/B/T...</t>
  </si>
  <si>
    <t>20</t>
  </si>
  <si>
    <t xml:space="preserve">TIPO TASA DE REFERENCIA</t>
  </si>
  <si>
    <t>numeric(1,0)</t>
  </si>
  <si>
    <t>T165</t>
  </si>
  <si>
    <t xml:space="preserve">Tipo de referencia para tasa variable, conforme T165</t>
  </si>
  <si>
    <t xml:space="preserve">LIBOR / TIPP es donde se fija el período. Aún no trae esta info sino que siempre trae TIPP para préstamos, hasta que se desarrolle requerimiento</t>
  </si>
  <si>
    <t>BCETITA</t>
  </si>
  <si>
    <t xml:space="preserve">Catálogo T165 (1 Libor/2 Tipp)</t>
  </si>
  <si>
    <t xml:space="preserve">Solo si V → BCETITA else 0</t>
  </si>
  <si>
    <t xml:space="preserve">`case when BCETAFV='TV' then BCETITA else 0 end` `Ar10.java:37`</t>
  </si>
  <si>
    <t xml:space="preserve">Placeholder 2</t>
  </si>
  <si>
    <t>21</t>
  </si>
  <si>
    <t xml:space="preserve">PERIODO TASA REFERENCIA</t>
  </si>
  <si>
    <t>T166</t>
  </si>
  <si>
    <t xml:space="preserve">Plazo de referencia para tasa variable, conforme T166</t>
  </si>
  <si>
    <t>0&lt;br&gt;1</t>
  </si>
  <si>
    <t xml:space="preserve">0=por ser fija&lt;br&gt;1=30 días&lt;br&gt;Del 1 al 7 es LIBOR luego el período cuando es variable</t>
  </si>
  <si>
    <t>BCEPERE</t>
  </si>
  <si>
    <t xml:space="preserve">Catálogo T166 (0 No aplica, 1-7 Libor  overnight-12m / 1-7 Tipp 30d-5a)</t>
  </si>
  <si>
    <t xml:space="preserve">Solo si V → BCEPERE else 0</t>
  </si>
  <si>
    <t xml:space="preserve">`case when BCETAFV='TV' then BCEPERE else 0 end` `Ar10.java:37`</t>
  </si>
  <si>
    <t xml:space="preserve">Placeholder 1</t>
  </si>
  <si>
    <t>22</t>
  </si>
  <si>
    <t xml:space="preserve">COSTO FINANCIERO TOTAL O RENDIMIENTO</t>
  </si>
  <si>
    <t xml:space="preserve">CFT o RFT según activo/pasivo</t>
  </si>
  <si>
    <t>12,5958</t>
  </si>
  <si>
    <t xml:space="preserve">Debe tomarse la TAE (Tasa Anual Efectiva) según operación (activa o pasiva)</t>
  </si>
  <si>
    <t>CACREDIT+CACOBADI</t>
  </si>
  <si>
    <t>catino+caindi+capseg</t>
  </si>
  <si>
    <t xml:space="preserve">TAE = nominal + cargos</t>
  </si>
  <si>
    <t xml:space="preserve">`(a.catino+a.caindi)+ifnull(sum(capseg) where CARCO1&gt;1 and catire&lt;&gt;'SA',0)` `Ar10.java:146`</t>
  </si>
  <si>
    <t>23</t>
  </si>
  <si>
    <t xml:space="preserve">CÓDIGO PROVINCIA</t>
  </si>
  <si>
    <t>varchar(6)</t>
  </si>
  <si>
    <t>T016</t>
  </si>
  <si>
    <t xml:space="preserve">Provincia donde se dará uso o se captan recursos, conforme T016</t>
  </si>
  <si>
    <t>25&lt;br&gt;18&lt;br&gt;32</t>
  </si>
  <si>
    <t xml:space="preserve">Santiago. Dos dígitos</t>
  </si>
  <si>
    <t xml:space="preserve">cartacdat / cainfoga</t>
  </si>
  <si>
    <t xml:space="preserve">CACREDIT / CAINFOGA</t>
  </si>
  <si>
    <t xml:space="preserve">CRREGI / CAREGI</t>
  </si>
  <si>
    <t xml:space="preserve">Catálogo T016</t>
  </si>
  <si>
    <t xml:space="preserve">Si hipotecario → CAREGI else CRREGI</t>
  </si>
  <si>
    <t xml:space="preserve">`case when CAPROD=3 then (select CAREGI from cainfoga ...) else CRREGI end` `Ar10.java:147`</t>
  </si>
  <si>
    <t>24</t>
  </si>
  <si>
    <t xml:space="preserve">CÓDIGO MUNICIPIO</t>
  </si>
  <si>
    <t xml:space="preserve">Municipio donde se dará uso o se captan recursos, conforme T016</t>
  </si>
  <si>
    <t xml:space="preserve">Santiago. Hasta dos dígitos</t>
  </si>
  <si>
    <t xml:space="preserve">CRMUNI / CADEGA</t>
  </si>
  <si>
    <t xml:space="preserve">Si hipotecario → CADEGA else CRMUNI</t>
  </si>
  <si>
    <t xml:space="preserve">`case when CAPROD=3 then CADEGA else CRMUNI` `Ar10.java:150`</t>
  </si>
  <si>
    <t>25</t>
  </si>
  <si>
    <t xml:space="preserve">UBICACIÓN DE LA VIVIENDA</t>
  </si>
  <si>
    <t xml:space="preserve">Dirección donde está la vivienda objeto de la operación</t>
  </si>
  <si>
    <t xml:space="preserve">N/A&lt;br&gt;C/Boulevar del prado Esq. C/16, Edif. Res. Rosangeder V, Prado Oriental, SDE.</t>
  </si>
  <si>
    <t xml:space="preserve">Para PH. Para cualquier otro producto viaja “NA”. Dirección concatenada de lectura</t>
  </si>
  <si>
    <t>CAINFOGA</t>
  </si>
  <si>
    <t>cadig1+cadig2</t>
  </si>
  <si>
    <t xml:space="preserve">Solo hipotecario concatena</t>
  </si>
  <si>
    <t xml:space="preserve">`case when CAPROD=3 then (select cadig1</t>
  </si>
  <si>
    <t xml:space="preserve">' '</t>
  </si>
  <si>
    <t xml:space="preserve">cadig2 ...) else 'NA' end` `Ar10.java:153`</t>
  </si>
  <si>
    <t>26</t>
  </si>
  <si>
    <t xml:space="preserve">METRO CUADRADO DE LA VIVIENDA</t>
  </si>
  <si>
    <t>numeric(10,2)</t>
  </si>
  <si>
    <t xml:space="preserve">Cantidad de metros cuadrados de la vivienda</t>
  </si>
  <si>
    <t>89.68&lt;br&gt;64.54&lt;br&gt;102.00</t>
  </si>
  <si>
    <t xml:space="preserve">Para PH</t>
  </si>
  <si>
    <t>CAARED</t>
  </si>
  <si>
    <t xml:space="preserve">Solo hipotecario sum</t>
  </si>
  <si>
    <t xml:space="preserve">`case CAPROD when 3 then sum(CAARED) else 0 end` `Ar10.java:156`</t>
  </si>
  <si>
    <t>27</t>
  </si>
  <si>
    <t xml:space="preserve">VALOR DE LA VIVIENDA</t>
  </si>
  <si>
    <t xml:space="preserve">Valor de tasación de la vivienda a la última fecha disponible</t>
  </si>
  <si>
    <t>11399999</t>
  </si>
  <si>
    <t xml:space="preserve">Valor de la tasación</t>
  </si>
  <si>
    <t>CAVGAR</t>
  </si>
  <si>
    <t xml:space="preserve">`case CAPROD when 3 then sum(CAVGAR) else 0 end` `Ar10.java:159`</t>
  </si>
  <si>
    <t>28</t>
  </si>
  <si>
    <t xml:space="preserve">ESTADO DE LA VIVIENDA</t>
  </si>
  <si>
    <t>T167</t>
  </si>
  <si>
    <t xml:space="preserve">Estado de la vivienda, conforme T167</t>
  </si>
  <si>
    <t>0&lt;br&gt;1&lt;br&gt;2&lt;br&gt;3</t>
  </si>
  <si>
    <t xml:space="preserve">No aplica / En construcción / Remodelación</t>
  </si>
  <si>
    <t>cafn02</t>
  </si>
  <si>
    <t xml:space="preserve">Catálogo T167 (0 No aplica/1 En construcción/2 Remodelación/3 Nueva/4 Reventa)</t>
  </si>
  <si>
    <t xml:space="preserve">Solo hipotecario mapea cafn02 181/183/185→3, 182/184/186/187→1 else 0</t>
  </si>
  <si>
    <t>`Ar10.java:162`</t>
  </si>
  <si>
    <t xml:space="preserve">2 y 4 no generados hoy</t>
  </si>
  <si>
    <t>29</t>
  </si>
  <si>
    <t xml:space="preserve">TIPO DE INMUEBLE</t>
  </si>
  <si>
    <t>T168</t>
  </si>
  <si>
    <t xml:space="preserve">Tipo de inmueble, conforme T168</t>
  </si>
  <si>
    <t xml:space="preserve">0 No aplica / 1 Apartamento / 2 Casa / 3 Local comercial / 4 Solar</t>
  </si>
  <si>
    <t>CACTBP</t>
  </si>
  <si>
    <t xml:space="preserve">Catálogo T168</t>
  </si>
  <si>
    <t xml:space="preserve">Solo hipotecario</t>
  </si>
  <si>
    <t xml:space="preserve">`case CAPROD when 3 then CACTBP else 0 end` `Ar10.java:173`</t>
  </si>
  <si>
    <t xml:space="preserve">CACTBP 1-4</t>
  </si>
  <si>
    <t>30</t>
  </si>
  <si>
    <t xml:space="preserve">CANTIDAD OPERACIÓN</t>
  </si>
  <si>
    <t>numeric(8,0)</t>
  </si>
  <si>
    <t xml:space="preserve">Total de operaciones incluidas para depósitos de ahorro reportados</t>
  </si>
  <si>
    <t>1&lt;br&gt;115</t>
  </si>
  <si>
    <t xml:space="preserve">Para detalle viaja “1”. Para líneas del consolidado viaja cantidad de nuevos depósitos</t>
  </si>
  <si>
    <t>BCECANT</t>
  </si>
  <si>
    <t xml:space="preserve">Detalle 1, resumen count</t>
  </si>
  <si>
    <t xml:space="preserve">`1` `Ar10.java:176` + resúmenes `RESUMEN_*`</t>
  </si>
  <si>
    <t>31</t>
  </si>
  <si>
    <t xml:space="preserve">VALOR DE VENTA</t>
  </si>
  <si>
    <t>numeric(17,2)</t>
  </si>
  <si>
    <t xml:space="preserve">Precio de venta del inmueble, bajo contrato</t>
  </si>
  <si>
    <t xml:space="preserve">A veces es el mismo monto de la tasación</t>
  </si>
  <si>
    <t>BCEVALO</t>
  </si>
  <si>
    <t xml:space="preserve">Reuso BCEVALO</t>
  </si>
  <si>
    <t xml:space="preserve">`BCEVALO` `Ar10.java:40`</t>
  </si>
  <si>
    <t xml:space="preserve">Campo MRI extra</t>
  </si>
  <si>
    <t>32</t>
  </si>
  <si>
    <t xml:space="preserve">CÓDIGO DE CONTRAPARTE</t>
  </si>
  <si>
    <t>T182</t>
  </si>
  <si>
    <t xml:space="preserve">Código contraparte</t>
  </si>
  <si>
    <t>N/A&lt;br&gt;B&lt;br&gt;A</t>
  </si>
  <si>
    <t xml:space="preserve">N/A excepto cuando es fondo de inversión</t>
  </si>
  <si>
    <t>BCEGRUP</t>
  </si>
  <si>
    <t xml:space="preserve">Catálogo (FI/FP/EIF)</t>
  </si>
  <si>
    <t xml:space="preserve">FI/FP/EIF else N/A</t>
  </si>
  <si>
    <t xml:space="preserve">`case when BCEGRUP in ('FI','FP','EIF') then BCEGRUP else 'N/A' end` `Ar10.java:41`</t>
  </si>
  <si>
    <t xml:space="preserve">Fix OR→IN en 6bf185e</t>
  </si>
  <si>
    <t>33</t>
  </si>
  <si>
    <t>SALARIO</t>
  </si>
  <si>
    <t>numeric(15,2)</t>
  </si>
  <si>
    <t xml:space="preserve">Ingreso o salario del deudor, mensualizado, para evaluación y desembolso</t>
  </si>
  <si>
    <t>39000&lt;br&gt;136000&lt;br&gt;34076724,50&lt;br&gt;0.00</t>
  </si>
  <si>
    <t xml:space="preserve">Aplica para todos los préstamos, incluso PJ. Si es Captaciones no se considera</t>
  </si>
  <si>
    <t>CLLECL</t>
  </si>
  <si>
    <t xml:space="preserve">Solo si BCETIPO='1' (activa)</t>
  </si>
  <si>
    <t xml:space="preserve">`case when BCETIPO='1' then ifnull(select CLLECL where BCEIDEN... ,0) else 0 end` `Ar10.java:42`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</si>
</sst>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O1" zoomScale="100" workbookViewId="0">
      <selection activeCell="A1" activeCellId="0" sqref="A1"/>
    </sheetView>
  </sheetViews>
  <sheetFormatPr defaultRowHeight="15"/>
  <cols>
    <col customWidth="1" min="1" max="2" width="10.83203125"/>
    <col customWidth="1" min="3" max="3" width="37.83203125"/>
    <col customWidth="1" min="4" max="4" width="13.83203125"/>
    <col customWidth="1" min="5" max="5" width="10.83203125"/>
    <col customWidth="1" min="6" max="8" width="50.83203125"/>
    <col customWidth="1" min="9" max="9" width="14.83203125"/>
    <col customWidth="1" min="10" max="10" width="25.83203125"/>
    <col customWidth="1" min="11" max="11" width="21.83203125"/>
    <col customWidth="1" min="12" max="12" width="32.83203125"/>
    <col customWidth="1" min="13" max="13" width="43.83203125"/>
    <col customWidth="1" min="14" max="14" width="28.83203125"/>
    <col customWidth="1" min="15" max="18" width="50.83203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</row>
    <row r="4">
      <c r="A4" t="s">
        <v>19</v>
      </c>
      <c r="B4" t="s">
        <v>37</v>
      </c>
      <c r="C4" t="s">
        <v>38</v>
      </c>
      <c r="D4" t="s">
        <v>39</v>
      </c>
      <c r="E4" t="s">
        <v>23</v>
      </c>
      <c r="F4" t="s">
        <v>40</v>
      </c>
      <c r="G4" t="s">
        <v>41</v>
      </c>
      <c r="H4" t="s">
        <v>42</v>
      </c>
      <c r="I4" t="s">
        <v>27</v>
      </c>
      <c r="J4" t="s">
        <v>43</v>
      </c>
      <c r="K4" t="str">
        <f>Q10</f>
        <v xml:space="preserve">`Ar10.java:108-123` + `EMPLEADO_PENCIONADO`/`ElIMINAR_EIF`</v>
      </c>
      <c r="L4" t="s">
        <v>44</v>
      </c>
      <c r="M4" t="s">
        <v>45</v>
      </c>
      <c r="N4" t="s">
        <v>32</v>
      </c>
      <c r="O4" t="s">
        <v>46</v>
      </c>
      <c r="P4" t="s">
        <v>47</v>
      </c>
      <c r="Q4" t="s">
        <v>48</v>
      </c>
      <c r="R4" t="s">
        <v>49</v>
      </c>
      <c r="S4" t="s">
        <v>50</v>
      </c>
    </row>
    <row r="5">
      <c r="A5" t="s">
        <v>19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27</v>
      </c>
      <c r="J5" t="s">
        <v>43</v>
      </c>
      <c r="K5" t="s">
        <v>58</v>
      </c>
      <c r="L5" t="s">
        <v>59</v>
      </c>
      <c r="M5" t="s">
        <v>60</v>
      </c>
      <c r="N5" t="s">
        <v>32</v>
      </c>
      <c r="O5" t="s">
        <v>61</v>
      </c>
      <c r="P5" t="s">
        <v>62</v>
      </c>
      <c r="Q5" t="s">
        <v>63</v>
      </c>
      <c r="R5" t="s">
        <v>64</v>
      </c>
    </row>
    <row r="6">
      <c r="A6" t="s">
        <v>19</v>
      </c>
      <c r="B6" t="s">
        <v>65</v>
      </c>
      <c r="C6" t="s">
        <v>66</v>
      </c>
      <c r="D6" t="s">
        <v>67</v>
      </c>
      <c r="E6" t="s">
        <v>23</v>
      </c>
      <c r="F6" t="s">
        <v>68</v>
      </c>
      <c r="G6" t="s">
        <v>69</v>
      </c>
      <c r="H6" t="s">
        <v>70</v>
      </c>
      <c r="I6" t="s">
        <v>27</v>
      </c>
      <c r="J6" t="s">
        <v>43</v>
      </c>
      <c r="K6" t="s">
        <v>71</v>
      </c>
      <c r="L6" t="s">
        <v>44</v>
      </c>
      <c r="M6" t="s">
        <v>72</v>
      </c>
      <c r="N6" t="s">
        <v>73</v>
      </c>
      <c r="O6" t="s">
        <v>74</v>
      </c>
      <c r="P6" t="s">
        <v>75</v>
      </c>
      <c r="Q6" t="s">
        <v>76</v>
      </c>
      <c r="R6" t="s">
        <v>77</v>
      </c>
    </row>
    <row r="7">
      <c r="A7" t="s">
        <v>19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83</v>
      </c>
      <c r="H7" t="s">
        <v>84</v>
      </c>
      <c r="I7" t="s">
        <v>27</v>
      </c>
      <c r="J7" t="s">
        <v>43</v>
      </c>
      <c r="K7" t="s">
        <v>85</v>
      </c>
      <c r="L7" t="s">
        <v>86</v>
      </c>
      <c r="M7" t="s">
        <v>87</v>
      </c>
      <c r="N7" t="s">
        <v>32</v>
      </c>
      <c r="O7" t="s">
        <v>88</v>
      </c>
      <c r="P7" t="s">
        <v>89</v>
      </c>
      <c r="Q7" t="s">
        <v>90</v>
      </c>
      <c r="R7" t="s">
        <v>91</v>
      </c>
    </row>
    <row r="8">
      <c r="A8" t="s">
        <v>19</v>
      </c>
      <c r="B8" t="s">
        <v>92</v>
      </c>
      <c r="C8" t="s">
        <v>93</v>
      </c>
      <c r="D8" t="s">
        <v>94</v>
      </c>
      <c r="E8" t="s">
        <v>95</v>
      </c>
      <c r="F8" t="s">
        <v>96</v>
      </c>
      <c r="G8" t="s">
        <v>97</v>
      </c>
      <c r="H8" t="s">
        <v>98</v>
      </c>
      <c r="I8" t="s">
        <v>27</v>
      </c>
      <c r="J8" t="s">
        <v>43</v>
      </c>
      <c r="K8" t="s">
        <v>99</v>
      </c>
      <c r="L8" t="s">
        <v>100</v>
      </c>
      <c r="M8" t="s">
        <v>101</v>
      </c>
      <c r="N8" t="s">
        <v>102</v>
      </c>
      <c r="O8" t="s">
        <v>103</v>
      </c>
      <c r="P8" t="s">
        <v>104</v>
      </c>
      <c r="Q8" t="s">
        <v>105</v>
      </c>
      <c r="R8" t="s">
        <v>106</v>
      </c>
    </row>
    <row r="9">
      <c r="A9" t="s">
        <v>19</v>
      </c>
      <c r="B9" t="s">
        <v>107</v>
      </c>
      <c r="C9" t="s">
        <v>108</v>
      </c>
      <c r="D9" t="s">
        <v>80</v>
      </c>
      <c r="E9" t="s">
        <v>109</v>
      </c>
      <c r="F9" t="s">
        <v>110</v>
      </c>
      <c r="G9" t="s">
        <v>111</v>
      </c>
      <c r="H9" t="s">
        <v>112</v>
      </c>
      <c r="I9" t="s">
        <v>27</v>
      </c>
      <c r="J9" t="s">
        <v>43</v>
      </c>
      <c r="K9" t="s">
        <v>58</v>
      </c>
      <c r="L9" t="s">
        <v>59</v>
      </c>
      <c r="M9" t="s">
        <v>113</v>
      </c>
      <c r="N9" t="s">
        <v>32</v>
      </c>
      <c r="O9" t="s">
        <v>114</v>
      </c>
      <c r="P9" t="s">
        <v>115</v>
      </c>
      <c r="Q9" t="s">
        <v>116</v>
      </c>
      <c r="R9" t="s">
        <v>117</v>
      </c>
    </row>
    <row r="10">
      <c r="A10" t="s">
        <v>19</v>
      </c>
      <c r="B10" t="s">
        <v>118</v>
      </c>
      <c r="C10" t="s">
        <v>119</v>
      </c>
      <c r="D10" t="s">
        <v>120</v>
      </c>
      <c r="E10" t="s">
        <v>121</v>
      </c>
      <c r="F10" t="s">
        <v>122</v>
      </c>
      <c r="G10" t="s">
        <v>123</v>
      </c>
      <c r="H10" t="s">
        <v>124</v>
      </c>
      <c r="I10" t="s">
        <v>27</v>
      </c>
      <c r="J10" t="s">
        <v>43</v>
      </c>
      <c r="K10" t="s">
        <v>125</v>
      </c>
      <c r="L10" t="s">
        <v>126</v>
      </c>
      <c r="M10" t="s">
        <v>127</v>
      </c>
      <c r="N10" t="s">
        <v>32</v>
      </c>
      <c r="O10" t="s">
        <v>128</v>
      </c>
      <c r="P10" t="s">
        <v>129</v>
      </c>
      <c r="Q10" t="s">
        <v>130</v>
      </c>
      <c r="R10" t="s">
        <v>131</v>
      </c>
    </row>
    <row r="11">
      <c r="A11" t="s">
        <v>19</v>
      </c>
      <c r="B11" t="s">
        <v>132</v>
      </c>
      <c r="C11" t="s">
        <v>133</v>
      </c>
      <c r="D11" t="s">
        <v>134</v>
      </c>
      <c r="E11" t="s">
        <v>23</v>
      </c>
      <c r="F11" t="s">
        <v>135</v>
      </c>
      <c r="G11" t="s">
        <v>136</v>
      </c>
      <c r="H11" t="s">
        <v>137</v>
      </c>
      <c r="I11" t="s">
        <v>27</v>
      </c>
      <c r="J11" t="s">
        <v>43</v>
      </c>
      <c r="K11" t="s">
        <v>58</v>
      </c>
      <c r="L11" t="s">
        <v>59</v>
      </c>
      <c r="M11" t="s">
        <v>138</v>
      </c>
      <c r="N11" t="s">
        <v>73</v>
      </c>
      <c r="O11" t="s">
        <v>46</v>
      </c>
      <c r="P11" t="s">
        <v>139</v>
      </c>
      <c r="Q11" t="s">
        <v>140</v>
      </c>
      <c r="R11" t="s">
        <v>23</v>
      </c>
    </row>
    <row r="12">
      <c r="A12" t="s">
        <v>19</v>
      </c>
      <c r="B12" t="s">
        <v>141</v>
      </c>
      <c r="C12" t="s">
        <v>142</v>
      </c>
      <c r="D12" t="s">
        <v>143</v>
      </c>
      <c r="E12" t="s">
        <v>23</v>
      </c>
      <c r="F12" t="s">
        <v>144</v>
      </c>
      <c r="G12" t="s">
        <v>145</v>
      </c>
      <c r="H12" t="s">
        <v>146</v>
      </c>
      <c r="I12" t="s">
        <v>27</v>
      </c>
      <c r="J12" t="s">
        <v>43</v>
      </c>
      <c r="K12" t="s">
        <v>147</v>
      </c>
      <c r="L12" t="s">
        <v>148</v>
      </c>
      <c r="M12" t="s">
        <v>149</v>
      </c>
      <c r="N12" t="s">
        <v>73</v>
      </c>
      <c r="O12" t="s">
        <v>46</v>
      </c>
      <c r="P12" t="s">
        <v>150</v>
      </c>
      <c r="Q12" t="s">
        <v>151</v>
      </c>
      <c r="R12" t="s">
        <v>23</v>
      </c>
    </row>
    <row r="13">
      <c r="A13" t="s">
        <v>19</v>
      </c>
      <c r="B13" t="s">
        <v>152</v>
      </c>
      <c r="C13" t="s">
        <v>153</v>
      </c>
      <c r="D13" t="s">
        <v>39</v>
      </c>
      <c r="E13" t="s">
        <v>23</v>
      </c>
      <c r="F13" t="s">
        <v>154</v>
      </c>
      <c r="G13" t="s">
        <v>155</v>
      </c>
      <c r="H13" t="s">
        <v>156</v>
      </c>
      <c r="I13" t="s">
        <v>27</v>
      </c>
      <c r="J13" t="s">
        <v>43</v>
      </c>
      <c r="K13" t="s">
        <v>147</v>
      </c>
      <c r="L13" t="s">
        <v>157</v>
      </c>
      <c r="M13" t="s">
        <v>158</v>
      </c>
      <c r="N13" t="s">
        <v>32</v>
      </c>
      <c r="O13" t="s">
        <v>46</v>
      </c>
      <c r="P13" t="s">
        <v>159</v>
      </c>
      <c r="Q13" t="s">
        <v>160</v>
      </c>
      <c r="R13" t="s">
        <v>161</v>
      </c>
      <c r="S13" t="s">
        <v>162</v>
      </c>
      <c r="T13" t="s">
        <v>161</v>
      </c>
      <c r="U13" t="s">
        <v>163</v>
      </c>
      <c r="V13" t="s">
        <v>164</v>
      </c>
    </row>
    <row r="14">
      <c r="A14" t="s">
        <v>19</v>
      </c>
      <c r="B14" t="s">
        <v>165</v>
      </c>
      <c r="C14" t="s">
        <v>166</v>
      </c>
      <c r="D14" t="s">
        <v>39</v>
      </c>
      <c r="E14" t="s">
        <v>23</v>
      </c>
      <c r="F14" t="s">
        <v>167</v>
      </c>
      <c r="G14" t="s">
        <v>168</v>
      </c>
      <c r="H14" t="s">
        <v>169</v>
      </c>
      <c r="I14" t="s">
        <v>27</v>
      </c>
      <c r="J14" t="s">
        <v>43</v>
      </c>
      <c r="K14" t="s">
        <v>58</v>
      </c>
      <c r="L14" t="s">
        <v>59</v>
      </c>
      <c r="M14" t="s">
        <v>170</v>
      </c>
      <c r="N14" t="s">
        <v>73</v>
      </c>
      <c r="O14" t="s">
        <v>46</v>
      </c>
      <c r="P14" t="s">
        <v>171</v>
      </c>
      <c r="Q14" t="s">
        <v>172</v>
      </c>
      <c r="R14" t="s">
        <v>161</v>
      </c>
      <c r="S14" t="s">
        <v>173</v>
      </c>
      <c r="T14" t="s">
        <v>161</v>
      </c>
      <c r="U14" t="s">
        <v>174</v>
      </c>
      <c r="V14" t="s">
        <v>175</v>
      </c>
    </row>
    <row r="15">
      <c r="A15" t="s">
        <v>19</v>
      </c>
      <c r="B15" t="s">
        <v>176</v>
      </c>
      <c r="C15" t="s">
        <v>177</v>
      </c>
      <c r="D15" t="s">
        <v>178</v>
      </c>
      <c r="E15" t="s">
        <v>179</v>
      </c>
      <c r="F15" t="s">
        <v>180</v>
      </c>
      <c r="G15" t="s">
        <v>181</v>
      </c>
      <c r="H15" t="s">
        <v>182</v>
      </c>
      <c r="I15" t="s">
        <v>27</v>
      </c>
      <c r="J15" t="s">
        <v>43</v>
      </c>
      <c r="K15" t="s">
        <v>71</v>
      </c>
      <c r="L15" t="s">
        <v>44</v>
      </c>
      <c r="M15" t="s">
        <v>183</v>
      </c>
      <c r="N15" t="s">
        <v>73</v>
      </c>
      <c r="O15" t="s">
        <v>184</v>
      </c>
      <c r="P15" t="s">
        <v>185</v>
      </c>
      <c r="Q15" t="s">
        <v>186</v>
      </c>
      <c r="R15" t="s">
        <v>187</v>
      </c>
    </row>
    <row r="16">
      <c r="A16" t="s">
        <v>19</v>
      </c>
      <c r="B16" t="s">
        <v>188</v>
      </c>
      <c r="C16" t="s">
        <v>189</v>
      </c>
      <c r="D16" t="s">
        <v>190</v>
      </c>
      <c r="E16" t="s">
        <v>23</v>
      </c>
      <c r="F16" t="s">
        <v>191</v>
      </c>
      <c r="G16" t="s">
        <v>192</v>
      </c>
      <c r="H16" t="s">
        <v>193</v>
      </c>
      <c r="I16" t="s">
        <v>27</v>
      </c>
      <c r="J16" t="s">
        <v>43</v>
      </c>
      <c r="K16" t="s">
        <v>58</v>
      </c>
      <c r="L16" t="s">
        <v>59</v>
      </c>
      <c r="M16" t="s">
        <v>194</v>
      </c>
      <c r="N16" t="s">
        <v>73</v>
      </c>
      <c r="O16" t="s">
        <v>46</v>
      </c>
      <c r="P16" t="s">
        <v>195</v>
      </c>
      <c r="Q16" t="s">
        <v>196</v>
      </c>
      <c r="R16" t="s">
        <v>23</v>
      </c>
    </row>
    <row r="17">
      <c r="A17" t="s">
        <v>19</v>
      </c>
      <c r="B17" t="s">
        <v>197</v>
      </c>
      <c r="C17" t="s">
        <v>198</v>
      </c>
      <c r="D17" t="s">
        <v>199</v>
      </c>
      <c r="E17" t="s">
        <v>23</v>
      </c>
      <c r="F17" t="s">
        <v>200</v>
      </c>
      <c r="G17" t="s">
        <v>201</v>
      </c>
      <c r="H17" t="s">
        <v>202</v>
      </c>
      <c r="I17" t="s">
        <v>27</v>
      </c>
      <c r="J17" t="s">
        <v>43</v>
      </c>
      <c r="K17" t="s">
        <v>58</v>
      </c>
      <c r="L17" t="s">
        <v>59</v>
      </c>
      <c r="M17" t="s">
        <v>203</v>
      </c>
      <c r="N17" t="s">
        <v>32</v>
      </c>
      <c r="O17" t="s">
        <v>46</v>
      </c>
      <c r="P17" t="s">
        <v>204</v>
      </c>
      <c r="Q17" t="s">
        <v>205</v>
      </c>
      <c r="R17" t="s">
        <v>23</v>
      </c>
    </row>
    <row r="18">
      <c r="A18" t="s">
        <v>19</v>
      </c>
      <c r="B18" t="s">
        <v>206</v>
      </c>
      <c r="C18" t="s">
        <v>207</v>
      </c>
      <c r="D18" t="s">
        <v>208</v>
      </c>
      <c r="E18" t="s">
        <v>23</v>
      </c>
      <c r="F18" t="s">
        <v>209</v>
      </c>
      <c r="G18" t="s">
        <v>210</v>
      </c>
      <c r="H18" t="s">
        <v>211</v>
      </c>
      <c r="I18" t="s">
        <v>27</v>
      </c>
      <c r="J18" t="s">
        <v>43</v>
      </c>
      <c r="K18" t="s">
        <v>58</v>
      </c>
      <c r="L18" t="s">
        <v>59</v>
      </c>
      <c r="M18" t="s">
        <v>212</v>
      </c>
      <c r="N18" t="s">
        <v>32</v>
      </c>
      <c r="O18" t="s">
        <v>46</v>
      </c>
      <c r="P18" t="s">
        <v>213</v>
      </c>
      <c r="Q18" t="s">
        <v>214</v>
      </c>
      <c r="R18" t="s">
        <v>23</v>
      </c>
    </row>
    <row r="19">
      <c r="A19" t="s">
        <v>19</v>
      </c>
      <c r="B19" t="s">
        <v>215</v>
      </c>
      <c r="C19" t="s">
        <v>216</v>
      </c>
      <c r="D19" t="s">
        <v>53</v>
      </c>
      <c r="E19" t="s">
        <v>217</v>
      </c>
      <c r="F19" t="s">
        <v>218</v>
      </c>
      <c r="G19" t="s">
        <v>219</v>
      </c>
      <c r="H19" t="s">
        <v>220</v>
      </c>
      <c r="I19" t="s">
        <v>27</v>
      </c>
      <c r="J19" t="s">
        <v>43</v>
      </c>
      <c r="K19" t="s">
        <v>58</v>
      </c>
      <c r="L19" t="s">
        <v>221</v>
      </c>
      <c r="M19" t="s">
        <v>222</v>
      </c>
      <c r="N19" t="s">
        <v>32</v>
      </c>
      <c r="O19" t="s">
        <v>223</v>
      </c>
      <c r="P19" t="s">
        <v>224</v>
      </c>
      <c r="Q19" t="s">
        <v>225</v>
      </c>
      <c r="R19" t="s">
        <v>226</v>
      </c>
    </row>
    <row r="20">
      <c r="A20" t="s">
        <v>19</v>
      </c>
      <c r="B20" t="s">
        <v>227</v>
      </c>
      <c r="C20" t="s">
        <v>228</v>
      </c>
      <c r="D20" t="s">
        <v>67</v>
      </c>
      <c r="E20" t="s">
        <v>229</v>
      </c>
      <c r="F20" t="s">
        <v>230</v>
      </c>
      <c r="G20" t="s">
        <v>231</v>
      </c>
      <c r="H20" t="s">
        <v>232</v>
      </c>
      <c r="I20" t="s">
        <v>27</v>
      </c>
      <c r="J20" t="s">
        <v>43</v>
      </c>
      <c r="K20" t="s">
        <v>71</v>
      </c>
      <c r="L20" t="s">
        <v>44</v>
      </c>
      <c r="M20" t="s">
        <v>233</v>
      </c>
      <c r="N20" t="s">
        <v>32</v>
      </c>
      <c r="O20" t="s">
        <v>234</v>
      </c>
      <c r="P20" t="s">
        <v>235</v>
      </c>
      <c r="Q20" t="s">
        <v>236</v>
      </c>
      <c r="R20" t="s">
        <v>237</v>
      </c>
    </row>
    <row r="21">
      <c r="A21" t="s">
        <v>19</v>
      </c>
      <c r="B21" t="s">
        <v>238</v>
      </c>
      <c r="C21" t="s">
        <v>239</v>
      </c>
      <c r="D21" t="s">
        <v>53</v>
      </c>
      <c r="E21" t="s">
        <v>240</v>
      </c>
      <c r="F21" t="s">
        <v>241</v>
      </c>
      <c r="G21" t="s">
        <v>242</v>
      </c>
      <c r="H21" t="s">
        <v>243</v>
      </c>
      <c r="I21" t="s">
        <v>27</v>
      </c>
      <c r="J21" t="s">
        <v>43</v>
      </c>
      <c r="K21" t="s">
        <v>71</v>
      </c>
      <c r="L21" t="s">
        <v>44</v>
      </c>
      <c r="M21" t="s">
        <v>244</v>
      </c>
      <c r="N21" t="s">
        <v>32</v>
      </c>
      <c r="O21" t="s">
        <v>245</v>
      </c>
      <c r="P21" t="s">
        <v>246</v>
      </c>
      <c r="Q21" t="s">
        <v>247</v>
      </c>
      <c r="R21" t="s">
        <v>248</v>
      </c>
    </row>
    <row r="22">
      <c r="A22" t="s">
        <v>19</v>
      </c>
      <c r="B22" t="s">
        <v>249</v>
      </c>
      <c r="C22" t="s">
        <v>250</v>
      </c>
      <c r="D22" t="s">
        <v>251</v>
      </c>
      <c r="E22" t="s">
        <v>252</v>
      </c>
      <c r="F22" t="s">
        <v>253</v>
      </c>
      <c r="G22" t="s">
        <v>20</v>
      </c>
      <c r="H22" t="s">
        <v>254</v>
      </c>
      <c r="I22" t="s">
        <v>27</v>
      </c>
      <c r="J22" t="s">
        <v>43</v>
      </c>
      <c r="K22" t="s">
        <v>71</v>
      </c>
      <c r="L22" t="s">
        <v>44</v>
      </c>
      <c r="M22" t="s">
        <v>255</v>
      </c>
      <c r="N22" t="s">
        <v>32</v>
      </c>
      <c r="O22" t="s">
        <v>256</v>
      </c>
      <c r="P22" t="s">
        <v>257</v>
      </c>
      <c r="Q22" t="s">
        <v>258</v>
      </c>
      <c r="R22" t="s">
        <v>259</v>
      </c>
    </row>
    <row r="23">
      <c r="A23" t="s">
        <v>19</v>
      </c>
      <c r="B23" t="s">
        <v>260</v>
      </c>
      <c r="C23" t="s">
        <v>261</v>
      </c>
      <c r="D23" t="s">
        <v>251</v>
      </c>
      <c r="E23" t="s">
        <v>262</v>
      </c>
      <c r="F23" t="s">
        <v>263</v>
      </c>
      <c r="G23" t="s">
        <v>264</v>
      </c>
      <c r="H23" t="s">
        <v>265</v>
      </c>
      <c r="I23" t="s">
        <v>27</v>
      </c>
      <c r="J23" t="s">
        <v>43</v>
      </c>
      <c r="K23" t="s">
        <v>71</v>
      </c>
      <c r="L23" t="s">
        <v>44</v>
      </c>
      <c r="M23" t="s">
        <v>266</v>
      </c>
      <c r="N23" t="s">
        <v>32</v>
      </c>
      <c r="O23" t="s">
        <v>267</v>
      </c>
      <c r="P23" t="s">
        <v>268</v>
      </c>
      <c r="Q23" t="s">
        <v>269</v>
      </c>
      <c r="R23" t="s">
        <v>270</v>
      </c>
    </row>
    <row r="24">
      <c r="A24" t="s">
        <v>19</v>
      </c>
      <c r="B24" t="s">
        <v>271</v>
      </c>
      <c r="C24" t="s">
        <v>272</v>
      </c>
      <c r="D24" t="s">
        <v>208</v>
      </c>
      <c r="E24" t="s">
        <v>23</v>
      </c>
      <c r="F24" t="s">
        <v>273</v>
      </c>
      <c r="G24" t="s">
        <v>274</v>
      </c>
      <c r="H24" t="s">
        <v>275</v>
      </c>
      <c r="I24" t="s">
        <v>27</v>
      </c>
      <c r="J24" t="s">
        <v>43</v>
      </c>
      <c r="K24" t="s">
        <v>58</v>
      </c>
      <c r="L24" t="s">
        <v>276</v>
      </c>
      <c r="M24" t="s">
        <v>277</v>
      </c>
      <c r="N24" t="s">
        <v>32</v>
      </c>
      <c r="O24" t="s">
        <v>46</v>
      </c>
      <c r="P24" t="s">
        <v>278</v>
      </c>
      <c r="Q24" t="s">
        <v>279</v>
      </c>
      <c r="R24" t="s">
        <v>23</v>
      </c>
    </row>
    <row r="25">
      <c r="A25" t="s">
        <v>19</v>
      </c>
      <c r="B25" t="s">
        <v>280</v>
      </c>
      <c r="C25" t="s">
        <v>281</v>
      </c>
      <c r="D25" t="s">
        <v>282</v>
      </c>
      <c r="E25" t="s">
        <v>283</v>
      </c>
      <c r="F25" t="s">
        <v>284</v>
      </c>
      <c r="G25" t="s">
        <v>285</v>
      </c>
      <c r="H25" t="s">
        <v>286</v>
      </c>
      <c r="I25" t="s">
        <v>27</v>
      </c>
      <c r="J25" t="s">
        <v>43</v>
      </c>
      <c r="K25" t="s">
        <v>287</v>
      </c>
      <c r="L25" t="s">
        <v>288</v>
      </c>
      <c r="M25" t="s">
        <v>289</v>
      </c>
      <c r="N25" t="s">
        <v>73</v>
      </c>
      <c r="O25" t="s">
        <v>290</v>
      </c>
      <c r="P25" t="s">
        <v>291</v>
      </c>
      <c r="Q25" t="s">
        <v>292</v>
      </c>
      <c r="R25" t="s">
        <v>23</v>
      </c>
    </row>
    <row r="26">
      <c r="A26" t="s">
        <v>19</v>
      </c>
      <c r="B26" t="s">
        <v>293</v>
      </c>
      <c r="C26" t="s">
        <v>294</v>
      </c>
      <c r="D26" t="s">
        <v>282</v>
      </c>
      <c r="E26" t="s">
        <v>283</v>
      </c>
      <c r="F26" t="s">
        <v>295</v>
      </c>
      <c r="G26" t="s">
        <v>20</v>
      </c>
      <c r="H26" t="s">
        <v>296</v>
      </c>
      <c r="I26" t="s">
        <v>27</v>
      </c>
      <c r="J26" t="s">
        <v>43</v>
      </c>
      <c r="K26" t="s">
        <v>287</v>
      </c>
      <c r="L26" t="s">
        <v>288</v>
      </c>
      <c r="M26" t="s">
        <v>297</v>
      </c>
      <c r="N26" t="s">
        <v>73</v>
      </c>
      <c r="O26" t="s">
        <v>290</v>
      </c>
      <c r="P26" t="s">
        <v>298</v>
      </c>
      <c r="Q26" t="s">
        <v>299</v>
      </c>
      <c r="R26" t="s">
        <v>23</v>
      </c>
    </row>
    <row r="27">
      <c r="A27" t="s">
        <v>19</v>
      </c>
      <c r="B27" t="s">
        <v>300</v>
      </c>
      <c r="C27" t="s">
        <v>301</v>
      </c>
      <c r="D27" t="s">
        <v>134</v>
      </c>
      <c r="E27" t="s">
        <v>23</v>
      </c>
      <c r="F27" t="s">
        <v>302</v>
      </c>
      <c r="G27" t="s">
        <v>303</v>
      </c>
      <c r="H27" t="s">
        <v>304</v>
      </c>
      <c r="I27" t="s">
        <v>27</v>
      </c>
      <c r="J27" t="s">
        <v>43</v>
      </c>
      <c r="K27" t="s">
        <v>58</v>
      </c>
      <c r="L27" t="s">
        <v>305</v>
      </c>
      <c r="M27" t="s">
        <v>306</v>
      </c>
      <c r="N27" t="s">
        <v>73</v>
      </c>
      <c r="O27" t="s">
        <v>46</v>
      </c>
      <c r="P27" t="s">
        <v>307</v>
      </c>
      <c r="Q27" t="s">
        <v>308</v>
      </c>
      <c r="R27" t="s">
        <v>309</v>
      </c>
      <c r="S27" t="s">
        <v>310</v>
      </c>
      <c r="T27" t="s">
        <v>23</v>
      </c>
    </row>
    <row r="28">
      <c r="A28" t="s">
        <v>19</v>
      </c>
      <c r="B28" t="s">
        <v>311</v>
      </c>
      <c r="C28" t="s">
        <v>312</v>
      </c>
      <c r="D28" t="s">
        <v>313</v>
      </c>
      <c r="E28" t="s">
        <v>23</v>
      </c>
      <c r="F28" t="s">
        <v>314</v>
      </c>
      <c r="G28" t="s">
        <v>315</v>
      </c>
      <c r="H28" t="s">
        <v>316</v>
      </c>
      <c r="I28" t="s">
        <v>27</v>
      </c>
      <c r="J28" t="s">
        <v>43</v>
      </c>
      <c r="K28" t="s">
        <v>58</v>
      </c>
      <c r="L28" t="s">
        <v>305</v>
      </c>
      <c r="M28" t="s">
        <v>317</v>
      </c>
      <c r="N28" t="s">
        <v>73</v>
      </c>
      <c r="O28" t="s">
        <v>46</v>
      </c>
      <c r="P28" t="s">
        <v>318</v>
      </c>
      <c r="Q28" t="s">
        <v>319</v>
      </c>
      <c r="R28" t="s">
        <v>23</v>
      </c>
    </row>
    <row r="29">
      <c r="A29" t="s">
        <v>19</v>
      </c>
      <c r="B29" t="s">
        <v>320</v>
      </c>
      <c r="C29" t="s">
        <v>321</v>
      </c>
      <c r="D29" t="s">
        <v>190</v>
      </c>
      <c r="E29" t="s">
        <v>23</v>
      </c>
      <c r="F29" t="s">
        <v>322</v>
      </c>
      <c r="G29" t="s">
        <v>323</v>
      </c>
      <c r="H29" t="s">
        <v>324</v>
      </c>
      <c r="I29" t="s">
        <v>27</v>
      </c>
      <c r="J29" t="s">
        <v>43</v>
      </c>
      <c r="K29" t="s">
        <v>58</v>
      </c>
      <c r="L29" t="s">
        <v>305</v>
      </c>
      <c r="M29" t="s">
        <v>325</v>
      </c>
      <c r="N29" t="s">
        <v>73</v>
      </c>
      <c r="O29" t="s">
        <v>46</v>
      </c>
      <c r="P29" t="s">
        <v>318</v>
      </c>
      <c r="Q29" t="s">
        <v>326</v>
      </c>
      <c r="R29" t="s">
        <v>23</v>
      </c>
    </row>
    <row r="30">
      <c r="A30" t="s">
        <v>19</v>
      </c>
      <c r="B30" t="s">
        <v>327</v>
      </c>
      <c r="C30" t="s">
        <v>328</v>
      </c>
      <c r="D30" t="s">
        <v>251</v>
      </c>
      <c r="E30" t="s">
        <v>329</v>
      </c>
      <c r="F30" t="s">
        <v>330</v>
      </c>
      <c r="G30" t="s">
        <v>331</v>
      </c>
      <c r="H30" t="s">
        <v>332</v>
      </c>
      <c r="I30" t="s">
        <v>27</v>
      </c>
      <c r="J30" t="s">
        <v>43</v>
      </c>
      <c r="K30" t="s">
        <v>58</v>
      </c>
      <c r="L30" t="s">
        <v>59</v>
      </c>
      <c r="M30" t="s">
        <v>333</v>
      </c>
      <c r="N30" t="s">
        <v>32</v>
      </c>
      <c r="O30" t="s">
        <v>334</v>
      </c>
      <c r="P30" t="s">
        <v>335</v>
      </c>
      <c r="Q30" t="s">
        <v>336</v>
      </c>
      <c r="R30" t="s">
        <v>337</v>
      </c>
    </row>
    <row r="31">
      <c r="A31" t="s">
        <v>19</v>
      </c>
      <c r="B31" t="s">
        <v>338</v>
      </c>
      <c r="C31" t="s">
        <v>339</v>
      </c>
      <c r="D31" t="s">
        <v>251</v>
      </c>
      <c r="E31" t="s">
        <v>340</v>
      </c>
      <c r="F31" t="s">
        <v>341</v>
      </c>
      <c r="G31" t="s">
        <v>331</v>
      </c>
      <c r="H31" t="s">
        <v>342</v>
      </c>
      <c r="I31" t="s">
        <v>27</v>
      </c>
      <c r="J31" t="s">
        <v>43</v>
      </c>
      <c r="K31" t="s">
        <v>58</v>
      </c>
      <c r="L31" t="s">
        <v>305</v>
      </c>
      <c r="M31" t="s">
        <v>343</v>
      </c>
      <c r="N31" t="s">
        <v>73</v>
      </c>
      <c r="O31" t="s">
        <v>344</v>
      </c>
      <c r="P31" t="s">
        <v>345</v>
      </c>
      <c r="Q31" t="s">
        <v>346</v>
      </c>
      <c r="R31" t="s">
        <v>347</v>
      </c>
    </row>
    <row r="32">
      <c r="A32" t="s">
        <v>19</v>
      </c>
      <c r="B32" t="s">
        <v>348</v>
      </c>
      <c r="C32" t="s">
        <v>349</v>
      </c>
      <c r="D32" t="s">
        <v>350</v>
      </c>
      <c r="E32" t="s">
        <v>23</v>
      </c>
      <c r="F32" t="s">
        <v>351</v>
      </c>
      <c r="G32" t="s">
        <v>352</v>
      </c>
      <c r="H32" t="s">
        <v>353</v>
      </c>
      <c r="I32" t="s">
        <v>27</v>
      </c>
      <c r="J32" t="s">
        <v>43</v>
      </c>
      <c r="K32" t="s">
        <v>71</v>
      </c>
      <c r="L32" t="s">
        <v>44</v>
      </c>
      <c r="M32" t="s">
        <v>354</v>
      </c>
      <c r="N32" t="s">
        <v>73</v>
      </c>
      <c r="O32" t="s">
        <v>46</v>
      </c>
      <c r="P32" t="s">
        <v>355</v>
      </c>
      <c r="Q32" t="s">
        <v>356</v>
      </c>
      <c r="R32" t="s">
        <v>23</v>
      </c>
    </row>
    <row r="33">
      <c r="A33" t="s">
        <v>19</v>
      </c>
      <c r="B33" t="s">
        <v>357</v>
      </c>
      <c r="C33" t="s">
        <v>358</v>
      </c>
      <c r="D33" t="s">
        <v>359</v>
      </c>
      <c r="E33" t="s">
        <v>23</v>
      </c>
      <c r="F33" t="s">
        <v>360</v>
      </c>
      <c r="G33" t="s">
        <v>23</v>
      </c>
      <c r="H33" t="s">
        <v>361</v>
      </c>
      <c r="I33" t="s">
        <v>27</v>
      </c>
      <c r="J33" t="s">
        <v>43</v>
      </c>
      <c r="K33" t="s">
        <v>71</v>
      </c>
      <c r="L33" t="s">
        <v>44</v>
      </c>
      <c r="M33" t="s">
        <v>362</v>
      </c>
      <c r="N33" t="s">
        <v>73</v>
      </c>
      <c r="O33" t="s">
        <v>46</v>
      </c>
      <c r="P33" t="s">
        <v>363</v>
      </c>
      <c r="Q33" t="s">
        <v>364</v>
      </c>
      <c r="R33" t="s">
        <v>365</v>
      </c>
    </row>
    <row r="34">
      <c r="A34" t="s">
        <v>19</v>
      </c>
      <c r="B34" t="s">
        <v>366</v>
      </c>
      <c r="C34" t="s">
        <v>367</v>
      </c>
      <c r="D34" t="s">
        <v>178</v>
      </c>
      <c r="E34" t="s">
        <v>368</v>
      </c>
      <c r="F34" t="s">
        <v>369</v>
      </c>
      <c r="G34" t="s">
        <v>370</v>
      </c>
      <c r="H34" t="s">
        <v>371</v>
      </c>
      <c r="I34" t="s">
        <v>27</v>
      </c>
      <c r="J34" t="s">
        <v>43</v>
      </c>
      <c r="K34" t="s">
        <v>71</v>
      </c>
      <c r="L34" t="s">
        <v>44</v>
      </c>
      <c r="M34" t="s">
        <v>372</v>
      </c>
      <c r="N34" t="s">
        <v>32</v>
      </c>
      <c r="O34" t="s">
        <v>373</v>
      </c>
      <c r="P34" t="s">
        <v>374</v>
      </c>
      <c r="Q34" t="s">
        <v>375</v>
      </c>
      <c r="R34" t="s">
        <v>376</v>
      </c>
    </row>
    <row r="35">
      <c r="A35" t="s">
        <v>19</v>
      </c>
      <c r="B35" t="s">
        <v>377</v>
      </c>
      <c r="C35" t="s">
        <v>378</v>
      </c>
      <c r="D35" t="s">
        <v>379</v>
      </c>
      <c r="E35" t="s">
        <v>23</v>
      </c>
      <c r="F35" t="s">
        <v>380</v>
      </c>
      <c r="G35" t="s">
        <v>381</v>
      </c>
      <c r="H35" t="s">
        <v>382</v>
      </c>
      <c r="I35" t="s">
        <v>27</v>
      </c>
      <c r="J35" t="s">
        <v>43</v>
      </c>
      <c r="K35" t="s">
        <v>147</v>
      </c>
      <c r="L35" t="s">
        <v>148</v>
      </c>
      <c r="M35" t="s">
        <v>383</v>
      </c>
      <c r="N35" t="s">
        <v>73</v>
      </c>
      <c r="O35" t="s">
        <v>46</v>
      </c>
      <c r="P35" t="s">
        <v>384</v>
      </c>
      <c r="Q35" t="s">
        <v>385</v>
      </c>
      <c r="R35" t="s">
        <v>23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2026-09-03T15:06:47Z</dcterms:modified>
</cp:coreProperties>
</file>